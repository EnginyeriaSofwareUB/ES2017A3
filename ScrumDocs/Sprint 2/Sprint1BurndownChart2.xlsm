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harts/chart2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1.xml" ContentType="application/vnd.openxmlformats-officedocument.drawingml.char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8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Temp\OICE_16_974FA576_32C1D314_3BB1\"/>
    </mc:Choice>
  </mc:AlternateContent>
  <xr:revisionPtr revIDLastSave="181" documentId="2148DB9027B3E927B6FC8A112954816976A3E4F4" xr6:coauthVersionLast="26" xr6:coauthVersionMax="26" xr10:uidLastSave="{B8B41BE7-1242-4168-85C5-B73A578F1E07}"/>
  <bookViews>
    <workbookView xWindow="0" yWindow="0" windowWidth="16380" windowHeight="8190" tabRatio="993" xr2:uid="{00000000-000D-0000-FFFF-FFFF00000000}"/>
  </bookViews>
  <sheets>
    <sheet name="Burndown Chart" sheetId="1" r:id="rId1"/>
    <sheet name="Sheet1" sheetId="2" r:id="rId2"/>
  </sheets>
  <calcPr calcId="171026"/>
</workbook>
</file>

<file path=xl/calcChain.xml><?xml version="1.0" encoding="utf-8"?>
<calcChain xmlns="http://schemas.openxmlformats.org/spreadsheetml/2006/main">
  <c r="G6" i="1" l="1"/>
  <c r="F6" i="1"/>
  <c r="E26" i="1"/>
  <c r="F26" i="1"/>
  <c r="G26" i="1"/>
  <c r="F14" i="1"/>
  <c r="E18" i="1"/>
  <c r="F18" i="1"/>
  <c r="G18" i="1"/>
  <c r="E19" i="1"/>
  <c r="F19" i="1"/>
  <c r="G19" i="1"/>
  <c r="F7" i="1"/>
  <c r="E20" i="1"/>
  <c r="F20" i="1"/>
  <c r="G20" i="1"/>
  <c r="F8" i="1"/>
  <c r="E21" i="1"/>
  <c r="F21" i="1"/>
  <c r="G21" i="1"/>
  <c r="F9" i="1"/>
  <c r="E22" i="1"/>
  <c r="F22" i="1"/>
  <c r="G22" i="1"/>
  <c r="F10" i="1"/>
  <c r="E23" i="1"/>
  <c r="F23" i="1"/>
  <c r="G23" i="1"/>
  <c r="F11" i="1"/>
  <c r="E24" i="1"/>
  <c r="F24" i="1"/>
  <c r="G24" i="1"/>
  <c r="F12" i="1"/>
  <c r="E25" i="1"/>
  <c r="F25" i="1"/>
  <c r="G25" i="1"/>
  <c r="F13" i="1"/>
  <c r="G5" i="1"/>
  <c r="E6" i="1"/>
  <c r="E7" i="1"/>
  <c r="G7" i="1"/>
  <c r="E8" i="1"/>
  <c r="G8" i="1"/>
  <c r="E9" i="1"/>
  <c r="G9" i="1"/>
  <c r="E10" i="1"/>
  <c r="G10" i="1"/>
  <c r="E11" i="1"/>
  <c r="G11" i="1"/>
  <c r="E12" i="1"/>
  <c r="G12" i="1"/>
  <c r="E13" i="1"/>
  <c r="G13" i="1"/>
  <c r="E14" i="1"/>
  <c r="G14" i="1"/>
  <c r="E15" i="1"/>
  <c r="F15" i="1"/>
  <c r="G15" i="1"/>
  <c r="E16" i="1"/>
  <c r="F16" i="1"/>
  <c r="G16" i="1"/>
  <c r="E17" i="1"/>
  <c r="F17" i="1"/>
  <c r="G17" i="1"/>
</calcChain>
</file>

<file path=xl/sharedStrings.xml><?xml version="1.0" encoding="utf-8"?>
<sst xmlns="http://schemas.openxmlformats.org/spreadsheetml/2006/main" count="11" uniqueCount="11">
  <si>
    <t xml:space="preserve">                                                              Burn Down Chart</t>
  </si>
  <si>
    <t>Burned down</t>
  </si>
  <si>
    <t>Balance</t>
  </si>
  <si>
    <t>Completed tasks</t>
  </si>
  <si>
    <t>Remaining hours (average per member)</t>
  </si>
  <si>
    <t>Day</t>
  </si>
  <si>
    <t>Planned</t>
  </si>
  <si>
    <t>Remaining</t>
  </si>
  <si>
    <t>Planned tasks</t>
  </si>
  <si>
    <t>Remaining tasks</t>
  </si>
  <si>
    <t>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</si>
</sst>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indexed="8"/>
      <name val="Calibri"/>
      <family val="2"/>
    </font>
    <font>
      <sz val="8"/>
      <color indexed="8"/>
      <name val="Calibri"/>
      <family val="2"/>
    </font>
    <font>
      <sz val="8"/>
      <color indexed="8"/>
      <name val="Georgia"/>
      <family val="1"/>
    </font>
    <font>
      <b/>
      <sz val="24"/>
      <color indexed="9"/>
      <name val="Georgia"/>
      <family val="1"/>
    </font>
    <font>
      <sz val="11"/>
      <color indexed="8"/>
      <name val="Georgia"/>
      <family val="1"/>
    </font>
    <font>
      <b/>
      <sz val="9"/>
      <color indexed="9"/>
      <name val="Georgia"/>
      <family val="1"/>
    </font>
    <font>
      <sz val="9"/>
      <color indexed="23"/>
      <name val="Georgia"/>
      <family val="1"/>
    </font>
  </fonts>
  <fills count="3">
    <fill>
      <patternFill patternType="none"/>
    </fill>
    <fill>
      <patternFill patternType="gray125"/>
    </fill>
    <fill>
      <patternFill patternType="solid">
        <fgColor indexed="21"/>
        <bgColor indexed="38"/>
      </patternFill>
    </fill>
  </fills>
  <borders count="11">
    <border>
      <left/>
      <right/>
      <top/>
      <bottom/>
      <diagonal/>
    </border>
    <border>
      <left style="thin">
        <color indexed="63"/>
      </left>
      <right/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2"/>
      </left>
      <right style="thin">
        <color indexed="22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 style="thin">
        <color indexed="22"/>
      </bottom>
      <diagonal/>
    </border>
    <border>
      <left style="thin">
        <color indexed="23"/>
      </left>
      <right/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3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B3B3B3"/>
      <rgbColor rgb="00003366"/>
      <rgbColor rgb="00339966"/>
      <rgbColor rgb="00003300"/>
      <rgbColor rgb="00333300"/>
      <rgbColor rgb="00993300"/>
      <rgbColor rgb="00993366"/>
      <rgbColor rgb="00004586"/>
      <rgbColor rgb="003C3C3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 i="0" u="none" strike="noStrike" baseline="0">
                <a:solidFill>
                  <a:srgbClr val="3C3C3C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BURNDOWN CHART -- SPRINT 1</a:t>
            </a:r>
          </a:p>
        </c:rich>
      </c:tx>
      <c:layout>
        <c:manualLayout>
          <c:xMode val="edge"/>
          <c:yMode val="edge"/>
          <c:x val="0.35707331889609395"/>
          <c:y val="3.19644591602250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758900577838245E-2"/>
          <c:y val="5.936256701184648E-2"/>
          <c:w val="0.91189293781375902"/>
          <c:h val="0.82194323554864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'Burndown Chart'!$G$3</c:f>
              <c:strCache>
                <c:ptCount val="1"/>
                <c:pt idx="0">
                  <c:v>Completed tasks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003366" mc:Ignorable="a14" a14:legacySpreadsheetColorIndex="56"/>
                </a:gs>
                <a:gs pos="100000">
                  <a:srgbClr xmlns:mc="http://schemas.openxmlformats.org/markup-compatibility/2006" xmlns:a14="http://schemas.microsoft.com/office/drawing/2010/main" val="008080" mc:Ignorable="a14" a14:legacySpreadsheetColorIndex="21"/>
                </a:gs>
              </a:gsLst>
              <a:lin ang="5400000" scaled="1"/>
            </a:gradFill>
            <a:ln w="12700">
              <a:solidFill>
                <a:srgbClr val="008080"/>
              </a:solidFill>
              <a:prstDash val="solid"/>
            </a:ln>
          </c:spPr>
          <c:invertIfNegative val="0"/>
          <c:cat>
            <c:numRef>
              <c:f>'Burndown Chart'!$B$5:$B$25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'Burndown Chart'!$G$5:$G$25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3-43E9-897E-6F34C712918D}"/>
            </c:ext>
          </c:extLst>
        </c:ser>
        <c:ser>
          <c:idx val="0"/>
          <c:order val="1"/>
          <c:tx>
            <c:strRef>
              <c:f>'Burndown Chart'!$E$4</c:f>
              <c:strCache>
                <c:ptCount val="1"/>
                <c:pt idx="0">
                  <c:v>Planned tasks</c:v>
                </c:pt>
              </c:strCache>
            </c:strRef>
          </c:tx>
          <c:spPr>
            <a:solidFill>
              <a:srgbClr val="9999FF"/>
            </a:solidFill>
            <a:ln w="25400">
              <a:solidFill>
                <a:srgbClr val="00FF00"/>
              </a:solidFill>
              <a:prstDash val="solid"/>
            </a:ln>
          </c:spPr>
          <c:invertIfNegative val="0"/>
          <c:cat>
            <c:numRef>
              <c:f>'Burndown Chart'!$B$5:$B$25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'Burndown Chart'!$E$5:$E$25</c:f>
              <c:numCache>
                <c:formatCode>General</c:formatCode>
                <c:ptCount val="21"/>
                <c:pt idx="0">
                  <c:v>22</c:v>
                </c:pt>
                <c:pt idx="1">
                  <c:v>21</c:v>
                </c:pt>
                <c:pt idx="2">
                  <c:v>20</c:v>
                </c:pt>
                <c:pt idx="3">
                  <c:v>19</c:v>
                </c:pt>
                <c:pt idx="4">
                  <c:v>18</c:v>
                </c:pt>
                <c:pt idx="5">
                  <c:v>17</c:v>
                </c:pt>
                <c:pt idx="6">
                  <c:v>16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11</c:v>
                </c:pt>
                <c:pt idx="12">
                  <c:v>11</c:v>
                </c:pt>
                <c:pt idx="13">
                  <c:v>10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6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43-43E9-897E-6F34C7129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662254255"/>
        <c:axId val="1"/>
      </c:barChart>
      <c:lineChart>
        <c:grouping val="standard"/>
        <c:varyColors val="0"/>
        <c:ser>
          <c:idx val="1"/>
          <c:order val="2"/>
          <c:tx>
            <c:strRef>
              <c:f>'Burndown Chart'!$F$4</c:f>
              <c:strCache>
                <c:ptCount val="1"/>
                <c:pt idx="0">
                  <c:v>Remaining tasks</c:v>
                </c:pt>
              </c:strCache>
            </c:strRef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trendline>
            <c:name>Trend line</c:name>
            <c:spPr>
              <a:ln w="12700">
                <a:solidFill>
                  <a:srgbClr val="808080"/>
                </a:solidFill>
                <a:prstDash val="lgDash"/>
              </a:ln>
            </c:spPr>
            <c:trendlineType val="linear"/>
            <c:dispRSqr val="0"/>
            <c:dispEq val="0"/>
          </c:trendline>
          <c:cat>
            <c:numRef>
              <c:f>'Burndown Chart'!$B$5:$B$25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'Burndown Chart'!$F$5:$F$25</c:f>
              <c:numCache>
                <c:formatCode>General</c:formatCode>
                <c:ptCount val="21"/>
                <c:pt idx="0">
                  <c:v>22</c:v>
                </c:pt>
                <c:pt idx="1">
                  <c:v>21</c:v>
                </c:pt>
                <c:pt idx="2">
                  <c:v>20</c:v>
                </c:pt>
                <c:pt idx="3">
                  <c:v>19</c:v>
                </c:pt>
                <c:pt idx="4">
                  <c:v>18</c:v>
                </c:pt>
                <c:pt idx="5">
                  <c:v>17</c:v>
                </c:pt>
                <c:pt idx="6">
                  <c:v>16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11</c:v>
                </c:pt>
                <c:pt idx="12">
                  <c:v>11</c:v>
                </c:pt>
                <c:pt idx="13">
                  <c:v>10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6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43-43E9-897E-6F34C7129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254255"/>
        <c:axId val="1"/>
      </c:lineChart>
      <c:catAx>
        <c:axId val="66225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C3C3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Remaining hours (average per member)</a:t>
                </a:r>
              </a:p>
            </c:rich>
          </c:tx>
          <c:layout>
            <c:manualLayout>
              <c:xMode val="edge"/>
              <c:yMode val="edge"/>
              <c:x val="5.6498942863306006E-3"/>
              <c:y val="0.212335335850066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62254255"/>
        <c:crossesAt val="1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6498942863306006E-3"/>
          <c:y val="0.9041375591035079"/>
          <c:w val="0.8960732338120333"/>
          <c:h val="5.70793913575446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Georgia"/>
              <a:ea typeface="Georgia"/>
              <a:cs typeface="Georgi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322670010592565E-2"/>
          <c:y val="6.4708081664463735E-2"/>
          <c:w val="0.67779876899580271"/>
          <c:h val="0.81179229724509061"/>
        </c:manualLayout>
      </c:layout>
      <c:lineChart>
        <c:grouping val="standard"/>
        <c:varyColors val="0"/>
        <c:ser>
          <c:idx val="0"/>
          <c:order val="0"/>
          <c:tx>
            <c:strRef>
              <c:f>'Burndown Chart'!$H$3</c:f>
              <c:strCache>
                <c:ptCount val="1"/>
                <c:pt idx="0">
                  <c:v>Remaining hours (average per member)</c:v>
                </c:pt>
              </c:strCache>
            </c:strRef>
          </c:tx>
          <c:spPr>
            <a:ln w="38100">
              <a:solidFill>
                <a:srgbClr val="004586"/>
              </a:solidFill>
              <a:prstDash val="solid"/>
            </a:ln>
          </c:spPr>
          <c:marker>
            <c:symbol val="none"/>
          </c:marker>
          <c:val>
            <c:numRef>
              <c:f>'Burndown Chart'!$H$4:$H$25</c:f>
              <c:numCache>
                <c:formatCode>General</c:formatCode>
                <c:ptCount val="22"/>
                <c:pt idx="1">
                  <c:v>24</c:v>
                </c:pt>
                <c:pt idx="2">
                  <c:v>23</c:v>
                </c:pt>
                <c:pt idx="3">
                  <c:v>22</c:v>
                </c:pt>
                <c:pt idx="4">
                  <c:v>18</c:v>
                </c:pt>
                <c:pt idx="5">
                  <c:v>17</c:v>
                </c:pt>
                <c:pt idx="6">
                  <c:v>16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8</c:v>
                </c:pt>
                <c:pt idx="15">
                  <c:v>6</c:v>
                </c:pt>
                <c:pt idx="16">
                  <c:v>5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5-4BD8-B218-52910207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2253839"/>
        <c:axId val="1"/>
      </c:lineChart>
      <c:catAx>
        <c:axId val="662253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C3C3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B3B3B3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C3C3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253839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656416285919829"/>
          <c:y val="0.40589614862254531"/>
          <c:w val="0.29857991319827187"/>
          <c:h val="0.11942525885051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C3C3C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2</xdr:row>
      <xdr:rowOff>57150</xdr:rowOff>
    </xdr:from>
    <xdr:to>
      <xdr:col>24</xdr:col>
      <xdr:colOff>0</xdr:colOff>
      <xdr:row>23</xdr:row>
      <xdr:rowOff>47625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D842687D-4F7F-4684-A172-D11638C07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238125</xdr:colOff>
      <xdr:row>23</xdr:row>
      <xdr:rowOff>123825</xdr:rowOff>
    </xdr:from>
    <xdr:to>
      <xdr:col>20</xdr:col>
      <xdr:colOff>533400</xdr:colOff>
      <xdr:row>40</xdr:row>
      <xdr:rowOff>123825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6D2F6510-D5D7-466B-90C9-6F8763B5611A}"/>
            </a:ext>
            <a:ext uri="{147F2762-F138-4A5C-976F-8EAC2B608ADB}">
              <a16:predDERef xmlns:a16="http://schemas.microsoft.com/office/drawing/2014/main" pred="{D842687D-4F7F-4684-A172-D11638C07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238125</xdr:colOff>
      <xdr:row>5</xdr:row>
      <xdr:rowOff>161925</xdr:rowOff>
    </xdr:from>
    <xdr:to>
      <xdr:col>23</xdr:col>
      <xdr:colOff>171450</xdr:colOff>
      <xdr:row>7</xdr:row>
      <xdr:rowOff>0</xdr:rowOff>
    </xdr:to>
    <xdr:pic>
      <xdr:nvPicPr>
        <xdr:cNvPr id="1027" name="Image 2">
          <a:extLst>
            <a:ext uri="{FF2B5EF4-FFF2-40B4-BE49-F238E27FC236}">
              <a16:creationId xmlns:a16="http://schemas.microsoft.com/office/drawing/2014/main" id="{67113992-9864-46AD-9D61-5F9D21DE28AB}"/>
            </a:ext>
            <a:ext uri="{147F2762-F138-4A5C-976F-8EAC2B608ADB}">
              <a16:predDERef xmlns:a16="http://schemas.microsoft.com/office/drawing/2014/main" pred="{6D2F6510-D5D7-466B-90C9-6F8763B561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190625"/>
          <a:ext cx="2371725" cy="219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absolute">
    <xdr:from>
      <xdr:col>9</xdr:col>
      <xdr:colOff>400050</xdr:colOff>
      <xdr:row>5</xdr:row>
      <xdr:rowOff>47625</xdr:rowOff>
    </xdr:from>
    <xdr:to>
      <xdr:col>22</xdr:col>
      <xdr:colOff>523875</xdr:colOff>
      <xdr:row>20</xdr:row>
      <xdr:rowOff>142875</xdr:rowOff>
    </xdr:to>
    <xdr:pic>
      <xdr:nvPicPr>
        <xdr:cNvPr id="1028" name="Image 1">
          <a:extLst>
            <a:ext uri="{FF2B5EF4-FFF2-40B4-BE49-F238E27FC236}">
              <a16:creationId xmlns:a16="http://schemas.microsoft.com/office/drawing/2014/main" id="{B1461373-24DE-49A7-95E7-2B6F168A2C45}"/>
            </a:ext>
            <a:ext uri="{147F2762-F138-4A5C-976F-8EAC2B608ADB}">
              <a16:predDERef xmlns:a16="http://schemas.microsoft.com/office/drawing/2014/main" pred="{67113992-9864-46AD-9D61-5F9D21DE2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076325"/>
          <a:ext cx="8048625" cy="2952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6"/>
  <sheetViews>
    <sheetView showGridLines="0" tabSelected="1" topLeftCell="A4" workbookViewId="0" xr3:uid="{AEA406A1-0E4B-5B11-9CD5-51D6E497D94C}">
      <selection activeCell="I18" sqref="I18"/>
    </sheetView>
  </sheetViews>
  <sheetFormatPr defaultRowHeight="15"/>
  <cols>
    <col min="1" max="1" width="3.7109375" style="1" customWidth="1"/>
    <col min="2" max="2" width="5" style="2" customWidth="1"/>
    <col min="3" max="3" width="8.42578125" style="2" customWidth="1"/>
    <col min="4" max="4" width="10.42578125" style="2" customWidth="1"/>
    <col min="5" max="5" width="14.42578125" style="2" bestFit="1" customWidth="1"/>
    <col min="6" max="6" width="17.28515625" style="2" bestFit="1" customWidth="1"/>
    <col min="7" max="7" width="12.42578125" style="2" customWidth="1"/>
    <col min="8" max="8" width="25.42578125" customWidth="1"/>
  </cols>
  <sheetData>
    <row r="1" spans="1:20" ht="30">
      <c r="A1" s="3"/>
      <c r="B1" s="13" t="s">
        <v>0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4"/>
      <c r="T1" s="4"/>
    </row>
    <row r="2" spans="1:20" ht="6" customHeight="1">
      <c r="A2" s="3"/>
      <c r="B2" s="5"/>
      <c r="C2" s="5"/>
      <c r="D2" s="5"/>
      <c r="E2" s="5"/>
      <c r="F2" s="5"/>
      <c r="G2" s="5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ht="15" customHeight="1">
      <c r="A3" s="3"/>
      <c r="B3" s="6"/>
      <c r="C3" s="14" t="s">
        <v>1</v>
      </c>
      <c r="D3" s="14"/>
      <c r="E3" s="14" t="s">
        <v>2</v>
      </c>
      <c r="F3" s="14"/>
      <c r="G3" s="15" t="s">
        <v>3</v>
      </c>
      <c r="H3" s="15" t="s">
        <v>4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>
      <c r="A4" s="3"/>
      <c r="B4" s="7" t="s">
        <v>5</v>
      </c>
      <c r="C4" s="8" t="s">
        <v>6</v>
      </c>
      <c r="D4" s="9" t="s">
        <v>7</v>
      </c>
      <c r="E4" s="8" t="s">
        <v>8</v>
      </c>
      <c r="F4" s="9" t="s">
        <v>9</v>
      </c>
      <c r="G4" s="15"/>
      <c r="H4" s="15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>
      <c r="A5" s="3"/>
      <c r="B5" s="10">
        <v>0</v>
      </c>
      <c r="C5" s="11">
        <v>0</v>
      </c>
      <c r="D5" s="11">
        <v>1</v>
      </c>
      <c r="E5" s="11">
        <v>22</v>
      </c>
      <c r="F5" s="11">
        <v>22</v>
      </c>
      <c r="G5" s="12">
        <f t="shared" ref="G5:G19" si="0">IF(D5="","N/A",D5)</f>
        <v>1</v>
      </c>
      <c r="H5" s="12">
        <v>24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>
      <c r="A6" s="3"/>
      <c r="B6" s="10">
        <v>1</v>
      </c>
      <c r="C6" s="11">
        <v>1</v>
      </c>
      <c r="D6" s="11">
        <v>1</v>
      </c>
      <c r="E6" s="11">
        <f t="shared" ref="E6:E19" si="1">$E$5-SUM($C$6:C6)</f>
        <v>21</v>
      </c>
      <c r="F6" s="11">
        <f>IF(D6="",NA(),$F$5-SUM($D$6:D6))</f>
        <v>21</v>
      </c>
      <c r="G6" s="12">
        <f>IF(D6="","N/A",D6)</f>
        <v>1</v>
      </c>
      <c r="H6" s="12">
        <v>23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>
      <c r="A7" s="3"/>
      <c r="B7" s="10">
        <v>2</v>
      </c>
      <c r="C7" s="11">
        <v>1</v>
      </c>
      <c r="D7" s="11">
        <v>1</v>
      </c>
      <c r="E7" s="11">
        <f t="shared" si="1"/>
        <v>20</v>
      </c>
      <c r="F7" s="11">
        <f t="shared" ref="F6:F19" si="2">IF(D7="",NA(),$F$5-SUM($D$6:D7))</f>
        <v>20</v>
      </c>
      <c r="G7" s="12">
        <f t="shared" si="0"/>
        <v>1</v>
      </c>
      <c r="H7" s="12">
        <v>22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>
      <c r="A8" s="3"/>
      <c r="B8" s="10">
        <v>3</v>
      </c>
      <c r="C8" s="11">
        <v>1</v>
      </c>
      <c r="D8" s="11">
        <v>1</v>
      </c>
      <c r="E8" s="11">
        <f t="shared" si="1"/>
        <v>19</v>
      </c>
      <c r="F8" s="11">
        <f t="shared" si="2"/>
        <v>19</v>
      </c>
      <c r="G8" s="12">
        <f t="shared" si="0"/>
        <v>1</v>
      </c>
      <c r="H8" s="12">
        <v>18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>
      <c r="A9" s="3"/>
      <c r="B9" s="10">
        <v>4</v>
      </c>
      <c r="C9" s="11">
        <v>1</v>
      </c>
      <c r="D9" s="11">
        <v>1</v>
      </c>
      <c r="E9" s="11">
        <f t="shared" si="1"/>
        <v>18</v>
      </c>
      <c r="F9" s="11">
        <f t="shared" si="2"/>
        <v>18</v>
      </c>
      <c r="G9" s="12">
        <f t="shared" si="0"/>
        <v>1</v>
      </c>
      <c r="H9" s="12">
        <v>17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>
      <c r="A10" s="3"/>
      <c r="B10" s="10">
        <v>5</v>
      </c>
      <c r="C10" s="11">
        <v>1</v>
      </c>
      <c r="D10" s="11">
        <v>1</v>
      </c>
      <c r="E10" s="11">
        <f t="shared" si="1"/>
        <v>17</v>
      </c>
      <c r="F10" s="11">
        <f t="shared" si="2"/>
        <v>17</v>
      </c>
      <c r="G10" s="12">
        <f t="shared" si="0"/>
        <v>1</v>
      </c>
      <c r="H10" s="12">
        <v>16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>
      <c r="A11" s="3"/>
      <c r="B11" s="10">
        <v>6</v>
      </c>
      <c r="C11" s="11">
        <v>1</v>
      </c>
      <c r="D11" s="11">
        <v>1</v>
      </c>
      <c r="E11" s="11">
        <f t="shared" si="1"/>
        <v>16</v>
      </c>
      <c r="F11" s="11">
        <f t="shared" si="2"/>
        <v>16</v>
      </c>
      <c r="G11" s="12">
        <f t="shared" si="0"/>
        <v>1</v>
      </c>
      <c r="H11" s="12">
        <v>15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>
      <c r="A12" s="3"/>
      <c r="B12" s="10">
        <v>7</v>
      </c>
      <c r="C12" s="11">
        <v>1</v>
      </c>
      <c r="D12" s="11">
        <v>1</v>
      </c>
      <c r="E12" s="11">
        <f t="shared" si="1"/>
        <v>15</v>
      </c>
      <c r="F12" s="11">
        <f t="shared" si="2"/>
        <v>15</v>
      </c>
      <c r="G12" s="12">
        <f t="shared" si="0"/>
        <v>1</v>
      </c>
      <c r="H12" s="12">
        <v>14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>
      <c r="A13" s="3"/>
      <c r="B13" s="10">
        <v>8</v>
      </c>
      <c r="C13" s="11">
        <v>1</v>
      </c>
      <c r="D13" s="11">
        <v>1</v>
      </c>
      <c r="E13" s="11">
        <f t="shared" si="1"/>
        <v>14</v>
      </c>
      <c r="F13" s="11">
        <f t="shared" si="2"/>
        <v>14</v>
      </c>
      <c r="G13" s="12">
        <f t="shared" si="0"/>
        <v>1</v>
      </c>
      <c r="H13" s="12">
        <v>13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>
      <c r="A14" s="3"/>
      <c r="B14" s="10">
        <v>9</v>
      </c>
      <c r="C14" s="11">
        <v>1</v>
      </c>
      <c r="D14" s="11">
        <v>1</v>
      </c>
      <c r="E14" s="11">
        <f t="shared" si="1"/>
        <v>13</v>
      </c>
      <c r="F14" s="11">
        <f t="shared" si="2"/>
        <v>13</v>
      </c>
      <c r="G14" s="12">
        <f t="shared" si="0"/>
        <v>1</v>
      </c>
      <c r="H14" s="12">
        <v>12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>
      <c r="A15" s="3"/>
      <c r="B15" s="10">
        <v>10</v>
      </c>
      <c r="C15" s="11">
        <v>1</v>
      </c>
      <c r="D15" s="11">
        <v>1</v>
      </c>
      <c r="E15" s="11">
        <f t="shared" si="1"/>
        <v>12</v>
      </c>
      <c r="F15" s="11">
        <f t="shared" si="2"/>
        <v>12</v>
      </c>
      <c r="G15" s="12">
        <f t="shared" si="0"/>
        <v>1</v>
      </c>
      <c r="H15" s="12">
        <v>11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>
      <c r="A16" s="3"/>
      <c r="B16" s="10">
        <v>11</v>
      </c>
      <c r="C16" s="11">
        <v>1</v>
      </c>
      <c r="D16" s="11">
        <v>1</v>
      </c>
      <c r="E16" s="11">
        <f t="shared" si="1"/>
        <v>11</v>
      </c>
      <c r="F16" s="11">
        <f t="shared" si="2"/>
        <v>11</v>
      </c>
      <c r="G16" s="12">
        <f t="shared" si="0"/>
        <v>1</v>
      </c>
      <c r="H16" s="12">
        <v>10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20">
      <c r="A17" s="3"/>
      <c r="B17" s="10">
        <v>12</v>
      </c>
      <c r="C17" s="11">
        <v>0</v>
      </c>
      <c r="D17" s="11">
        <v>0</v>
      </c>
      <c r="E17" s="11">
        <f t="shared" si="1"/>
        <v>11</v>
      </c>
      <c r="F17" s="11">
        <f t="shared" si="2"/>
        <v>11</v>
      </c>
      <c r="G17" s="12">
        <f t="shared" si="0"/>
        <v>0</v>
      </c>
      <c r="H17" s="12">
        <v>10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1:20">
      <c r="A18" s="3"/>
      <c r="B18" s="10">
        <v>13</v>
      </c>
      <c r="C18" s="11">
        <v>1</v>
      </c>
      <c r="D18" s="11">
        <v>1</v>
      </c>
      <c r="E18" s="11">
        <f t="shared" ref="E18:E25" si="3">$E$5-SUM($C$6:C18)</f>
        <v>10</v>
      </c>
      <c r="F18" s="11">
        <f t="shared" ref="F18:F25" si="4">IF(D18="",NA(),$F$5-SUM($D$6:D18))</f>
        <v>10</v>
      </c>
      <c r="G18" s="12">
        <f t="shared" ref="G18:G25" si="5">IF(D18="","N/A",D18)</f>
        <v>1</v>
      </c>
      <c r="H18" s="12">
        <v>8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>
      <c r="A19" s="3"/>
      <c r="B19" s="10">
        <v>14</v>
      </c>
      <c r="C19" s="11">
        <v>1</v>
      </c>
      <c r="D19" s="11">
        <v>1</v>
      </c>
      <c r="E19" s="11">
        <f t="shared" si="3"/>
        <v>9</v>
      </c>
      <c r="F19" s="11">
        <f t="shared" si="4"/>
        <v>9</v>
      </c>
      <c r="G19" s="12">
        <f t="shared" si="5"/>
        <v>1</v>
      </c>
      <c r="H19" s="12">
        <v>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>
      <c r="A20" s="3"/>
      <c r="B20" s="10">
        <v>15</v>
      </c>
      <c r="C20" s="11">
        <v>1</v>
      </c>
      <c r="D20" s="11">
        <v>1</v>
      </c>
      <c r="E20" s="11">
        <f t="shared" si="3"/>
        <v>8</v>
      </c>
      <c r="F20" s="11">
        <f t="shared" si="4"/>
        <v>8</v>
      </c>
      <c r="G20" s="12">
        <f t="shared" si="5"/>
        <v>1</v>
      </c>
      <c r="H20" s="12">
        <v>5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>
      <c r="A21" s="3"/>
      <c r="B21" s="10">
        <v>16</v>
      </c>
      <c r="C21" s="11">
        <v>1</v>
      </c>
      <c r="D21" s="11">
        <v>1</v>
      </c>
      <c r="E21" s="11">
        <f t="shared" si="3"/>
        <v>7</v>
      </c>
      <c r="F21" s="11">
        <f t="shared" si="4"/>
        <v>7</v>
      </c>
      <c r="G21" s="12">
        <f t="shared" si="5"/>
        <v>1</v>
      </c>
      <c r="H21" s="12">
        <v>4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spans="1:20">
      <c r="A22" s="3"/>
      <c r="B22" s="10">
        <v>17</v>
      </c>
      <c r="C22" s="11">
        <v>1</v>
      </c>
      <c r="D22" s="11">
        <v>1</v>
      </c>
      <c r="E22" s="11">
        <f t="shared" si="3"/>
        <v>6</v>
      </c>
      <c r="F22" s="11">
        <f t="shared" si="4"/>
        <v>6</v>
      </c>
      <c r="G22" s="12">
        <f t="shared" si="5"/>
        <v>1</v>
      </c>
      <c r="H22" s="12">
        <v>3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</row>
    <row r="23" spans="1:20">
      <c r="A23" s="3"/>
      <c r="B23" s="10">
        <v>18</v>
      </c>
      <c r="C23" s="11">
        <v>1</v>
      </c>
      <c r="D23" s="11">
        <v>1</v>
      </c>
      <c r="E23" s="11">
        <f t="shared" si="3"/>
        <v>5</v>
      </c>
      <c r="F23" s="11">
        <f t="shared" si="4"/>
        <v>5</v>
      </c>
      <c r="G23" s="12">
        <f t="shared" si="5"/>
        <v>1</v>
      </c>
      <c r="H23" s="12">
        <v>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</row>
    <row r="24" spans="1:20">
      <c r="A24" s="3"/>
      <c r="B24" s="10">
        <v>19</v>
      </c>
      <c r="C24" s="11">
        <v>1</v>
      </c>
      <c r="D24" s="11">
        <v>1</v>
      </c>
      <c r="E24" s="11">
        <f t="shared" si="3"/>
        <v>4</v>
      </c>
      <c r="F24" s="11">
        <f t="shared" si="4"/>
        <v>4</v>
      </c>
      <c r="G24" s="12">
        <f t="shared" si="5"/>
        <v>1</v>
      </c>
      <c r="H24" s="12">
        <v>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</row>
    <row r="25" spans="1:20">
      <c r="A25" s="3"/>
      <c r="B25" s="10">
        <v>20</v>
      </c>
      <c r="C25" s="11">
        <v>2</v>
      </c>
      <c r="D25" s="11">
        <v>2</v>
      </c>
      <c r="E25" s="11">
        <f t="shared" si="3"/>
        <v>2</v>
      </c>
      <c r="F25" s="11">
        <f t="shared" si="4"/>
        <v>2</v>
      </c>
      <c r="G25" s="12">
        <f t="shared" si="5"/>
        <v>2</v>
      </c>
      <c r="H25" s="12">
        <v>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</row>
    <row r="26" spans="1:20">
      <c r="B26" s="10">
        <v>21</v>
      </c>
      <c r="C26" s="11">
        <v>0</v>
      </c>
      <c r="D26" s="11">
        <v>2</v>
      </c>
      <c r="E26" s="11">
        <f t="shared" ref="E26" si="6">$E$5-SUM($C$6:C26)</f>
        <v>2</v>
      </c>
      <c r="F26" s="11">
        <f t="shared" ref="F26" si="7">IF(D26="",NA(),$F$5-SUM($D$6:D26))</f>
        <v>0</v>
      </c>
      <c r="G26" s="12">
        <f t="shared" ref="G26" si="8">IF(D26="","N/A",D26)</f>
        <v>2</v>
      </c>
      <c r="H26" s="12" t="s">
        <v>10</v>
      </c>
    </row>
  </sheetData>
  <sheetProtection selectLockedCells="1" selectUnlockedCells="1"/>
  <mergeCells count="5">
    <mergeCell ref="B1:R1"/>
    <mergeCell ref="C3:D3"/>
    <mergeCell ref="E3:F3"/>
    <mergeCell ref="G3:G4"/>
    <mergeCell ref="H3:H4"/>
  </mergeCells>
  <pageMargins left="0.7" right="0.7" top="0.75" bottom="0.75" header="0.51180555555555551" footer="0.51180555555555551"/>
  <pageSetup paperSize="9" firstPageNumber="0" orientation="portrait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 xr3:uid="{958C4451-9541-5A59-BF78-D2F731DF1C81}"/>
  </sheetViews>
  <sheetFormatPr defaultRowHeight="15"/>
  <sheetData/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ALEJANDRO ESPINOSA SANCHEZ</cp:lastModifiedBy>
  <cp:revision/>
  <dcterms:created xsi:type="dcterms:W3CDTF">2017-11-14T06:39:50Z</dcterms:created>
  <dcterms:modified xsi:type="dcterms:W3CDTF">2017-11-14T12:07:15Z</dcterms:modified>
  <cp:category/>
  <cp:contentStatus/>
</cp:coreProperties>
</file>